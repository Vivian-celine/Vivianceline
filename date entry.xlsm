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 x\OneDrive\Documents\"/>
    </mc:Choice>
  </mc:AlternateContent>
  <xr:revisionPtr revIDLastSave="0" documentId="13_ncr:1_{78263B12-EBB2-4E50-BCC1-B89FF0E960C5}" xr6:coauthVersionLast="43" xr6:coauthVersionMax="43" xr10:uidLastSave="{00000000-0000-0000-0000-000000000000}"/>
  <bookViews>
    <workbookView minimized="1" xWindow="5760" yWindow="3432" windowWidth="17280" windowHeight="9072" xr2:uid="{302A24CC-C998-4247-882A-249AEFE9CEA9}"/>
  </bookViews>
  <sheets>
    <sheet name="Sheet1" sheetId="1" r:id="rId1"/>
    <sheet name="Sheet3" sheetId="4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5" i="1" l="1"/>
  <c r="E34" i="1"/>
  <c r="E33" i="1"/>
  <c r="E32" i="1"/>
  <c r="E31" i="1"/>
  <c r="E30" i="1"/>
  <c r="D34" i="1"/>
  <c r="D33" i="1"/>
  <c r="D32" i="1"/>
  <c r="D35" i="1"/>
  <c r="D31" i="1"/>
  <c r="D30" i="1"/>
  <c r="F30" i="1" l="1"/>
  <c r="F31" i="1"/>
  <c r="F32" i="1"/>
  <c r="F33" i="1"/>
  <c r="F34" i="1"/>
  <c r="F35" i="1"/>
  <c r="D29" i="1"/>
  <c r="E29" i="1"/>
  <c r="F29" i="1" l="1"/>
  <c r="F36" i="1"/>
</calcChain>
</file>

<file path=xl/sharedStrings.xml><?xml version="1.0" encoding="utf-8"?>
<sst xmlns="http://schemas.openxmlformats.org/spreadsheetml/2006/main" count="81" uniqueCount="66">
  <si>
    <t>PRODUCT ORDER FORM</t>
  </si>
  <si>
    <t>Customer name</t>
  </si>
  <si>
    <t>Address</t>
  </si>
  <si>
    <t>City / State</t>
  </si>
  <si>
    <t>Country</t>
  </si>
  <si>
    <t>Email</t>
  </si>
  <si>
    <t>Order date</t>
  </si>
  <si>
    <t>Shipping method</t>
  </si>
  <si>
    <t>Shipping Address</t>
  </si>
  <si>
    <t>Payment Status</t>
  </si>
  <si>
    <t>Payment Date</t>
  </si>
  <si>
    <t>Express Air</t>
  </si>
  <si>
    <t>Cargo</t>
  </si>
  <si>
    <t>Quantity</t>
  </si>
  <si>
    <t>Shoes</t>
  </si>
  <si>
    <t>Hoodies</t>
  </si>
  <si>
    <t>Pullover</t>
  </si>
  <si>
    <t xml:space="preserve">Jackets </t>
  </si>
  <si>
    <t>Pants</t>
  </si>
  <si>
    <t>T-shirts</t>
  </si>
  <si>
    <t>Jersey</t>
  </si>
  <si>
    <t>Sports bra</t>
  </si>
  <si>
    <t>Tracksuit</t>
  </si>
  <si>
    <t>Swimwear</t>
  </si>
  <si>
    <t>Socks</t>
  </si>
  <si>
    <t>Sports Tight</t>
  </si>
  <si>
    <t>Shorts</t>
  </si>
  <si>
    <t>Price</t>
  </si>
  <si>
    <t>Total</t>
  </si>
  <si>
    <t>Description</t>
  </si>
  <si>
    <t>Product</t>
  </si>
  <si>
    <t>Regular Air</t>
  </si>
  <si>
    <r>
      <t xml:space="preserve">Nike " 40" F11 </t>
    </r>
    <r>
      <rPr>
        <b/>
        <sz val="11"/>
        <color theme="1"/>
        <rFont val="Calibri"/>
        <family val="2"/>
        <scheme val="minor"/>
      </rPr>
      <t>M</t>
    </r>
  </si>
  <si>
    <r>
      <t xml:space="preserve">Thick Blue </t>
    </r>
    <r>
      <rPr>
        <b/>
        <sz val="11"/>
        <color theme="1"/>
        <rFont val="Calibri"/>
        <family val="2"/>
        <scheme val="minor"/>
      </rPr>
      <t>F &amp; M</t>
    </r>
  </si>
  <si>
    <r>
      <t xml:space="preserve">Black "43" </t>
    </r>
    <r>
      <rPr>
        <b/>
        <sz val="11"/>
        <color theme="1"/>
        <rFont val="Calibri"/>
        <family val="2"/>
        <scheme val="minor"/>
      </rPr>
      <t>F</t>
    </r>
  </si>
  <si>
    <r>
      <t xml:space="preserve">White L </t>
    </r>
    <r>
      <rPr>
        <b/>
        <sz val="11"/>
        <color theme="1"/>
        <rFont val="Calibri"/>
        <family val="2"/>
        <scheme val="minor"/>
      </rPr>
      <t>M</t>
    </r>
  </si>
  <si>
    <r>
      <t xml:space="preserve">Cotton Pants  </t>
    </r>
    <r>
      <rPr>
        <b/>
        <sz val="11"/>
        <color theme="1"/>
        <rFont val="Calibri"/>
        <family val="2"/>
        <scheme val="minor"/>
      </rPr>
      <t>F</t>
    </r>
  </si>
  <si>
    <t>Swim goggles</t>
  </si>
  <si>
    <r>
      <t xml:space="preserve">XL </t>
    </r>
    <r>
      <rPr>
        <b/>
        <sz val="11"/>
        <color theme="1"/>
        <rFont val="Calibri"/>
        <family val="2"/>
        <scheme val="minor"/>
      </rPr>
      <t>F &amp; M</t>
    </r>
  </si>
  <si>
    <r>
      <t xml:space="preserve">Long  </t>
    </r>
    <r>
      <rPr>
        <b/>
        <sz val="11"/>
        <color theme="1"/>
        <rFont val="Calibri"/>
        <family val="2"/>
        <scheme val="minor"/>
      </rPr>
      <t>F &amp; M</t>
    </r>
  </si>
  <si>
    <r>
      <t xml:space="preserve">White L </t>
    </r>
    <r>
      <rPr>
        <b/>
        <sz val="11"/>
        <color theme="1"/>
        <rFont val="Calibri"/>
        <family val="2"/>
        <scheme val="minor"/>
      </rPr>
      <t>F &amp; M</t>
    </r>
  </si>
  <si>
    <r>
      <t>Red</t>
    </r>
    <r>
      <rPr>
        <b/>
        <sz val="11"/>
        <color theme="1"/>
        <rFont val="Calibri"/>
        <family val="2"/>
        <scheme val="minor"/>
      </rPr>
      <t xml:space="preserve"> F &amp; M</t>
    </r>
  </si>
  <si>
    <r>
      <t xml:space="preserve">Big Yellow </t>
    </r>
    <r>
      <rPr>
        <b/>
        <sz val="11"/>
        <color theme="1"/>
        <rFont val="Calibri"/>
        <family val="2"/>
        <scheme val="minor"/>
      </rPr>
      <t>F &amp; M</t>
    </r>
  </si>
  <si>
    <r>
      <t xml:space="preserve">Sea Blue </t>
    </r>
    <r>
      <rPr>
        <b/>
        <sz val="11"/>
        <color theme="1"/>
        <rFont val="Calibri"/>
        <family val="2"/>
        <scheme val="minor"/>
      </rPr>
      <t>F</t>
    </r>
  </si>
  <si>
    <r>
      <t xml:space="preserve">Black </t>
    </r>
    <r>
      <rPr>
        <b/>
        <sz val="11"/>
        <color theme="1"/>
        <rFont val="Calibri"/>
        <family val="2"/>
        <scheme val="minor"/>
      </rPr>
      <t>F &amp; M</t>
    </r>
  </si>
  <si>
    <r>
      <t xml:space="preserve">Black L </t>
    </r>
    <r>
      <rPr>
        <b/>
        <sz val="11"/>
        <color theme="1"/>
        <rFont val="Calibri"/>
        <family val="2"/>
        <scheme val="minor"/>
      </rPr>
      <t xml:space="preserve"> F &amp; M</t>
    </r>
  </si>
  <si>
    <r>
      <t xml:space="preserve">White XL </t>
    </r>
    <r>
      <rPr>
        <b/>
        <sz val="11"/>
        <color theme="1"/>
        <rFont val="Calibri"/>
        <family val="2"/>
        <scheme val="minor"/>
      </rPr>
      <t>F &amp; M</t>
    </r>
  </si>
  <si>
    <t>Sum total</t>
  </si>
  <si>
    <t>Shipping date</t>
  </si>
  <si>
    <t>Pending</t>
  </si>
  <si>
    <t>Paid</t>
  </si>
  <si>
    <t>Refunded</t>
  </si>
  <si>
    <t>Cancelled</t>
  </si>
  <si>
    <t>Mode of Payment</t>
  </si>
  <si>
    <t>Transfer</t>
  </si>
  <si>
    <t>Credit Card</t>
  </si>
  <si>
    <t>Debit Card</t>
  </si>
  <si>
    <t>Pos</t>
  </si>
  <si>
    <t>Onianwa Sophia</t>
  </si>
  <si>
    <t>Chief 4A.A Chinda Street</t>
  </si>
  <si>
    <t>Porthacourt,Rivers.</t>
  </si>
  <si>
    <t>Nigeria</t>
  </si>
  <si>
    <t>Onianwasm@gmail.com</t>
  </si>
  <si>
    <t>Chief  4 A.A Chinda Street Porthacourt,Rivers State</t>
  </si>
  <si>
    <t>WW</t>
  </si>
  <si>
    <t xml:space="preserve"> = c25/&amp;d25 &amp; e25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</si>
</sst>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0" fontId="0" fillId="2" borderId="3" xfId="0" applyFill="1" applyBorder="1" applyAlignment="1">
      <alignment horizontal="center"/>
    </xf>
    <xf numFmtId="3" fontId="0" fillId="0" borderId="0" xfId="0" applyNumberFormat="1"/>
    <xf numFmtId="0" fontId="0" fillId="2" borderId="4" xfId="0" applyFill="1" applyBorder="1" applyAlignment="1">
      <alignment horizontal="center"/>
    </xf>
    <xf numFmtId="0" fontId="3" fillId="2" borderId="2" xfId="1" applyFill="1" applyBorder="1"/>
    <xf numFmtId="0" fontId="2" fillId="0" borderId="0" xfId="0" applyFont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2" borderId="3" xfId="0" applyNumberFormat="1" applyFill="1" applyBorder="1" applyAlignment="1">
      <alignment horizontal="left"/>
    </xf>
    <xf numFmtId="0" fontId="1" fillId="0" borderId="0" xfId="0" applyFont="1"/>
    <xf numFmtId="0" fontId="0" fillId="0" borderId="0" xfId="0"/>
  </cellXfs>
  <cellStyles count="2">
    <cellStyle name="Hyperlink" xfId="1" builtinId="8"/>
    <cellStyle name="Normal" xfId="0" builtinId="0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38" lockText="1" noThreeD="1"/>
</file>

<file path=xl/ctrlProps/ctrlProp2.xml><?xml version="1.0" encoding="utf-8"?>
<formControlPr xmlns="http://schemas.microsoft.com/office/spreadsheetml/2009/9/main" objectType="CheckBox" fmlaLink="$H$38" lockText="1" noThreeD="1"/>
</file>

<file path=xl/ctrlProps/ctrlProp3.xml><?xml version="1.0" encoding="utf-8"?>
<formControlPr xmlns="http://schemas.microsoft.com/office/spreadsheetml/2009/9/main" objectType="CheckBox" checked="Checked" fmlaLink="$F$38" lockText="1" noThreeD="1"/>
</file>

<file path=xl/ctrlProps/ctrlProp4.xml><?xml version="1.0" encoding="utf-8"?>
<formControlPr xmlns="http://schemas.microsoft.com/office/spreadsheetml/2009/9/main" objectType="CheckBox" fmlaLink="$D$44" lockText="1" noThreeD="1"/>
</file>

<file path=xl/ctrlProps/ctrlProp5.xml><?xml version="1.0" encoding="utf-8"?>
<formControlPr xmlns="http://schemas.microsoft.com/office/spreadsheetml/2009/9/main" objectType="CheckBox" fmlaLink="$F$44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fmlaLink="$H$46" lockText="1" noThreeD="1"/>
</file>

<file path=xl/ctrlProps/ctrlProp10.xml><?xml version="1.0" encoding="utf-8"?>
<formControlPr xmlns="http://schemas.microsoft.com/office/spreadsheetml/2009/9/main" objectType="CheckBox" fmlaLink="$J$46" lockText="1" noThreeD="1"/>
</file>

<file path=xl/ctrlProps/ctrlProp11.xml><?xml version="1.0" encoding="utf-8"?>
<formControlPr xmlns="http://schemas.microsoft.com/office/spreadsheetml/2009/9/main" objectType="CheckBox" checked="Checked" fmlaLink="$J$4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182880</xdr:colOff>
      <xdr:row>0</xdr:row>
      <xdr:rowOff>167640</xdr:rowOff>
    </xdr:from>
    <xdr:to>
      <xdr:col>2</xdr:col>
      <xdr:colOff>685800</xdr:colOff>
      <xdr:row>9</xdr:row>
      <xdr:rowOff>99060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67640"/>
          <a:ext cx="1874520" cy="1577340"/>
        </a:xfrm>
        <a:prstGeom prst="rect">
          <a:avLst/>
        </a:prstGeom>
      </xdr:spPr>
    </xdr:pic>
    <xdr:clientData/>
  </xdr:twoCellAnchor>
  <xdr:twoCellAnchor>
    <xdr:from>
      <xdr:col>7</xdr:col>
      <xdr:colOff>472440</xdr:colOff>
      <xdr:row>50</xdr:row>
      <xdr:rowOff>160020</xdr:rowOff>
    </xdr:from>
    <xdr:to>
      <xdr:col>9</xdr:col>
      <xdr:colOff>518160</xdr:colOff>
      <xdr:row>53</xdr:row>
      <xdr:rowOff>144780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33160" y="8237220"/>
          <a:ext cx="1455420" cy="533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Place order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36</xdr:row>
          <xdr:rowOff>175260</xdr:rowOff>
        </xdr:from>
        <xdr:to>
          <xdr:col>3</xdr:col>
          <xdr:colOff>297180</xdr:colOff>
          <xdr:row>38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36</xdr:row>
          <xdr:rowOff>175260</xdr:rowOff>
        </xdr:from>
        <xdr:to>
          <xdr:col>7</xdr:col>
          <xdr:colOff>365760</xdr:colOff>
          <xdr:row>38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36</xdr:row>
          <xdr:rowOff>175260</xdr:rowOff>
        </xdr:from>
        <xdr:to>
          <xdr:col>5</xdr:col>
          <xdr:colOff>464820</xdr:colOff>
          <xdr:row>38</xdr:row>
          <xdr:rowOff>30480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42</xdr:row>
          <xdr:rowOff>175260</xdr:rowOff>
        </xdr:from>
        <xdr:to>
          <xdr:col>3</xdr:col>
          <xdr:colOff>335280</xdr:colOff>
          <xdr:row>44</xdr:row>
          <xdr:rowOff>30480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198120</xdr:colOff>
          <xdr:row>42</xdr:row>
          <xdr:rowOff>160020</xdr:rowOff>
        </xdr:from>
        <xdr:to>
          <xdr:col>5</xdr:col>
          <xdr:colOff>441960</xdr:colOff>
          <xdr:row>44</xdr:row>
          <xdr:rowOff>15240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42</xdr:row>
          <xdr:rowOff>175260</xdr:rowOff>
        </xdr:from>
        <xdr:to>
          <xdr:col>7</xdr:col>
          <xdr:colOff>472440</xdr:colOff>
          <xdr:row>44</xdr:row>
          <xdr:rowOff>30480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45</xdr:row>
          <xdr:rowOff>0</xdr:rowOff>
        </xdr:from>
        <xdr:to>
          <xdr:col>3</xdr:col>
          <xdr:colOff>327660</xdr:colOff>
          <xdr:row>46</xdr:row>
          <xdr:rowOff>38100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205740</xdr:colOff>
          <xdr:row>44</xdr:row>
          <xdr:rowOff>175260</xdr:rowOff>
        </xdr:from>
        <xdr:to>
          <xdr:col>5</xdr:col>
          <xdr:colOff>365760</xdr:colOff>
          <xdr:row>46</xdr:row>
          <xdr:rowOff>7620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44</xdr:row>
          <xdr:rowOff>167640</xdr:rowOff>
        </xdr:from>
        <xdr:to>
          <xdr:col>7</xdr:col>
          <xdr:colOff>472440</xdr:colOff>
          <xdr:row>46</xdr:row>
          <xdr:rowOff>22860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44</xdr:row>
          <xdr:rowOff>175260</xdr:rowOff>
        </xdr:from>
        <xdr:to>
          <xdr:col>9</xdr:col>
          <xdr:colOff>259080</xdr:colOff>
          <xdr:row>46</xdr:row>
          <xdr:rowOff>30480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42</xdr:row>
          <xdr:rowOff>167640</xdr:rowOff>
        </xdr:from>
        <xdr:to>
          <xdr:col>9</xdr:col>
          <xdr:colOff>236220</xdr:colOff>
          <xdr:row>44</xdr:row>
          <xdr:rowOff>22860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nianwasm@gmail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Onianwasm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5794-4AB9-40F3-B2F0-A0D688A4AC88}">
  <sheetPr codeName="Sheet1"/>
  <dimension ref="A12:L53"/>
  <sheetViews>
    <sheetView showGridLines="0" tabSelected="1" workbookViewId="0">
      <selection activeCell="F25" sqref="F25"/>
    </sheetView>
  </sheetViews>
  <sheetFormatPr defaultRowHeight="14.4" x14ac:dyDescent="0.3"/>
  <cols>
    <col min="1" max="1" width="7.88671875" customWidth="1"/>
    <col min="2" max="2" width="12.109375" customWidth="1"/>
    <col min="3" max="3" width="15.21875" customWidth="1"/>
    <col min="4" max="4" width="15.109375" customWidth="1"/>
    <col min="5" max="5" width="12.44140625" customWidth="1"/>
    <col min="6" max="6" width="11.33203125" customWidth="1"/>
    <col min="7" max="7" width="9.88671875" customWidth="1"/>
    <col min="8" max="8" width="11.5546875" customWidth="1"/>
    <col min="9" max="9" width="9" customWidth="1"/>
    <col min="10" max="10" width="13.109375" customWidth="1"/>
    <col min="11" max="11" width="10.77734375" customWidth="1"/>
    <col min="12" max="12" width="12" customWidth="1"/>
    <col min="14" max="14" width="8.109375" customWidth="1"/>
  </cols>
  <sheetData>
    <row r="12" spans="1:11" x14ac:dyDescent="0.3">
      <c r="K12" s="11"/>
    </row>
    <row r="13" spans="1:11" ht="15.6" x14ac:dyDescent="0.3">
      <c r="A13" s="2" t="s">
        <v>0</v>
      </c>
      <c r="E13" s="2"/>
      <c r="F13" s="2"/>
    </row>
    <row r="15" spans="1:11" x14ac:dyDescent="0.3">
      <c r="A15" s="1" t="s">
        <v>1</v>
      </c>
      <c r="C15" s="3" t="s">
        <v>58</v>
      </c>
      <c r="D15" s="4"/>
      <c r="E15" s="4"/>
      <c r="F15" s="4"/>
      <c r="G15" s="4"/>
      <c r="H15" s="4"/>
      <c r="I15" s="5"/>
    </row>
    <row r="16" spans="1:11" x14ac:dyDescent="0.3">
      <c r="C16" s="8"/>
      <c r="D16" s="8"/>
      <c r="E16" s="8"/>
      <c r="F16" s="8"/>
      <c r="G16" s="8"/>
      <c r="H16" s="8"/>
      <c r="I16" s="8"/>
    </row>
    <row r="17" spans="1:9" x14ac:dyDescent="0.3">
      <c r="A17" s="1" t="s">
        <v>2</v>
      </c>
      <c r="C17" s="3" t="s">
        <v>59</v>
      </c>
      <c r="D17" s="4"/>
      <c r="E17" s="4"/>
      <c r="F17" s="4"/>
      <c r="G17" s="4"/>
      <c r="H17" s="4"/>
      <c r="I17" s="5"/>
    </row>
    <row r="18" spans="1:9" x14ac:dyDescent="0.3">
      <c r="C18" s="8"/>
      <c r="D18" s="8"/>
      <c r="E18" s="8"/>
      <c r="F18" s="8"/>
      <c r="G18" s="8"/>
      <c r="H18" s="8"/>
      <c r="I18" s="8"/>
    </row>
    <row r="19" spans="1:9" x14ac:dyDescent="0.3">
      <c r="A19" s="1" t="s">
        <v>3</v>
      </c>
      <c r="C19" s="3" t="s">
        <v>60</v>
      </c>
      <c r="D19" s="4"/>
      <c r="E19" s="4"/>
      <c r="F19" s="4"/>
      <c r="G19" s="4"/>
      <c r="H19" s="4"/>
      <c r="I19" s="5"/>
    </row>
    <row r="20" spans="1:9" ht="15.6" x14ac:dyDescent="0.3">
      <c r="C20" s="8"/>
      <c r="D20" s="8"/>
      <c r="E20" s="8"/>
      <c r="F20" s="8"/>
      <c r="G20" s="14"/>
      <c r="H20" s="8"/>
      <c r="I20" s="8"/>
    </row>
    <row r="21" spans="1:9" x14ac:dyDescent="0.3">
      <c r="A21" s="1" t="s">
        <v>4</v>
      </c>
      <c r="C21" s="3" t="s">
        <v>61</v>
      </c>
      <c r="D21" s="4"/>
      <c r="E21" s="4"/>
      <c r="F21" s="4"/>
      <c r="G21" s="4"/>
      <c r="H21" s="4"/>
      <c r="I21" s="5"/>
    </row>
    <row r="22" spans="1:9" x14ac:dyDescent="0.3">
      <c r="A22" s="1"/>
      <c r="C22" s="8"/>
      <c r="D22" s="8"/>
      <c r="E22" s="8"/>
      <c r="F22" s="8"/>
      <c r="G22" s="8"/>
      <c r="H22" s="8"/>
      <c r="I22" s="8"/>
    </row>
    <row r="23" spans="1:9" x14ac:dyDescent="0.3">
      <c r="A23" s="1" t="s">
        <v>5</v>
      </c>
      <c r="C23" s="13" t="s">
        <v>62</v>
      </c>
      <c r="D23" s="4"/>
      <c r="E23" s="4"/>
      <c r="F23" s="4"/>
      <c r="G23" s="4"/>
      <c r="H23" s="4"/>
      <c r="I23" s="5"/>
    </row>
    <row r="25" spans="1:9" x14ac:dyDescent="0.3">
      <c r="A25" s="1" t="s">
        <v>6</v>
      </c>
      <c r="C25" s="3">
        <v>23</v>
      </c>
      <c r="D25" s="10">
        <v>1</v>
      </c>
      <c r="E25" s="12">
        <v>2025</v>
      </c>
      <c r="F25" t="s">
        <v>65</v>
      </c>
    </row>
    <row r="28" spans="1:9" x14ac:dyDescent="0.3">
      <c r="B28" s="7" t="s">
        <v>30</v>
      </c>
      <c r="C28" s="7" t="s">
        <v>13</v>
      </c>
      <c r="D28" s="7" t="s">
        <v>29</v>
      </c>
      <c r="E28" s="7" t="s">
        <v>27</v>
      </c>
      <c r="F28" s="7" t="s">
        <v>28</v>
      </c>
    </row>
    <row r="29" spans="1:9" x14ac:dyDescent="0.3">
      <c r="B29" s="6" t="s">
        <v>19</v>
      </c>
      <c r="C29" s="6">
        <v>3</v>
      </c>
      <c r="D29" s="6" t="str">
        <f>IFERROR(VLOOKUP(B29,Sheet2!A1:C14,2,FALSE), "")</f>
        <v>White L M</v>
      </c>
      <c r="E29" s="6">
        <f>IFERROR(VLOOKUP(Sheet1!B29,Sheet2!A1:C14,3,FALSE), "")</f>
        <v>9000</v>
      </c>
      <c r="F29" s="6">
        <f>IFERROR(C29*E29, "")</f>
        <v>27000</v>
      </c>
    </row>
    <row r="30" spans="1:9" x14ac:dyDescent="0.3">
      <c r="B30" s="6" t="s">
        <v>15</v>
      </c>
      <c r="C30" s="6">
        <v>5</v>
      </c>
      <c r="D30" s="6" t="str">
        <f>IFERROR(VLOOKUP(B30,Sheet2!A1:C14,2,FALSE), "")</f>
        <v>XL F &amp; M</v>
      </c>
      <c r="E30" s="6">
        <f>IFERROR(VLOOKUP(Sheet1!B30,Sheet2!A1:C14,3,FALSE), "")</f>
        <v>27000</v>
      </c>
      <c r="F30" s="6">
        <f t="shared" ref="F30" si="0">IFERROR(C30*E30, "")</f>
        <v>135000</v>
      </c>
    </row>
    <row r="31" spans="1:9" x14ac:dyDescent="0.3">
      <c r="B31" s="6" t="s">
        <v>20</v>
      </c>
      <c r="C31" s="6">
        <v>3</v>
      </c>
      <c r="D31" s="6" t="str">
        <f>IFERROR(VLOOKUP(B31,Sheet2!A1:C14,2,FALSE), "")</f>
        <v>Thick Blue F &amp; M</v>
      </c>
      <c r="E31" s="6">
        <f>IFERROR(VLOOKUP(Sheet1!B31,Sheet2!A1:C14,3,FALSE), "")</f>
        <v>8000</v>
      </c>
      <c r="F31" s="6">
        <f>IFERROR(C31*E31, "")</f>
        <v>24000</v>
      </c>
    </row>
    <row r="32" spans="1:9" x14ac:dyDescent="0.3">
      <c r="B32" s="6" t="s">
        <v>14</v>
      </c>
      <c r="C32" s="6">
        <v>5</v>
      </c>
      <c r="D32" s="6" t="str">
        <f>IFERROR(VLOOKUP(B32,Sheet2!A1:C14,2,FALSE), "")</f>
        <v>Nike " 40" F11 M</v>
      </c>
      <c r="E32" s="6">
        <f>IFERROR(VLOOKUP(Sheet1!B32,Sheet2!A1:C14,3,FALSE), "")</f>
        <v>15000</v>
      </c>
      <c r="F32" s="6">
        <f t="shared" ref="F32:F35" si="1">IFERROR(C32*E32, "")</f>
        <v>75000</v>
      </c>
    </row>
    <row r="33" spans="1:12" x14ac:dyDescent="0.3">
      <c r="B33" s="6"/>
      <c r="C33" s="6"/>
      <c r="D33" s="6" t="str">
        <f>IFERROR(VLOOKUP(B33,Sheet2!A1:C14,2,FALSE), "")</f>
        <v/>
      </c>
      <c r="E33" s="6" t="str">
        <f>IFERROR(VLOOKUP(Sheet1!B33,Sheet2!A1:C14,3,FALSE), "")</f>
        <v/>
      </c>
      <c r="F33" s="6" t="str">
        <f t="shared" si="1"/>
        <v/>
      </c>
    </row>
    <row r="34" spans="1:12" x14ac:dyDescent="0.3">
      <c r="B34" s="6"/>
      <c r="C34" s="6"/>
      <c r="D34" s="6" t="str">
        <f>IFERROR(VLOOKUP(B34,Sheet2!A1:C14,2,FALSE), "")</f>
        <v/>
      </c>
      <c r="E34" s="6" t="str">
        <f>IFERROR(VLOOKUP(Sheet1!B34,Sheet2!A1:C14,3,FALSE), "")</f>
        <v/>
      </c>
      <c r="F34" s="6" t="str">
        <f t="shared" si="1"/>
        <v/>
      </c>
      <c r="K34" s="8"/>
      <c r="L34" s="8"/>
    </row>
    <row r="35" spans="1:12" x14ac:dyDescent="0.3">
      <c r="B35" s="6"/>
      <c r="C35" s="6"/>
      <c r="D35" s="6" t="str">
        <f>IFERROR(VLOOKUP(B35,Sheet2!A1:C14,2,FALSE), "")</f>
        <v/>
      </c>
      <c r="E35" s="6" t="str">
        <f>IFERROR(VLOOKUP(Sheet1!B35,Sheet2!A1:C14,3,FALSE), "")</f>
        <v/>
      </c>
      <c r="F35" s="6" t="str">
        <f t="shared" si="1"/>
        <v/>
      </c>
    </row>
    <row r="36" spans="1:12" x14ac:dyDescent="0.3">
      <c r="E36" s="6" t="s">
        <v>47</v>
      </c>
      <c r="F36" s="6">
        <f>IF(SUM(F29:F35)=0, "",SUM(F29:F35))</f>
        <v>261000</v>
      </c>
    </row>
    <row r="38" spans="1:12" x14ac:dyDescent="0.3">
      <c r="A38" s="1" t="s">
        <v>7</v>
      </c>
      <c r="C38" s="3" t="s">
        <v>11</v>
      </c>
      <c r="D38" s="17" t="b">
        <v>0</v>
      </c>
      <c r="E38" s="4" t="s">
        <v>12</v>
      </c>
      <c r="F38" s="15" t="b">
        <v>1</v>
      </c>
      <c r="G38" s="4" t="s">
        <v>31</v>
      </c>
      <c r="H38" s="15" t="b">
        <v>0</v>
      </c>
      <c r="I38" s="5"/>
    </row>
    <row r="39" spans="1:12" x14ac:dyDescent="0.3">
      <c r="A39" s="1"/>
      <c r="C39" s="8"/>
      <c r="D39" s="8"/>
      <c r="E39" s="9"/>
      <c r="F39" s="9"/>
      <c r="G39" s="8"/>
    </row>
    <row r="40" spans="1:12" x14ac:dyDescent="0.3">
      <c r="A40" s="1" t="s">
        <v>8</v>
      </c>
      <c r="C40" s="3" t="s">
        <v>63</v>
      </c>
      <c r="D40" s="4"/>
      <c r="E40" s="4"/>
      <c r="F40" s="4"/>
      <c r="G40" s="5"/>
      <c r="I40" s="8"/>
      <c r="J40" s="8"/>
    </row>
    <row r="41" spans="1:12" x14ac:dyDescent="0.3">
      <c r="A41" s="1"/>
      <c r="C41" s="8"/>
      <c r="D41" s="8"/>
      <c r="E41" s="8"/>
      <c r="F41" s="8"/>
      <c r="G41" s="8"/>
    </row>
    <row r="42" spans="1:12" x14ac:dyDescent="0.3">
      <c r="A42" s="1" t="s">
        <v>48</v>
      </c>
      <c r="C42" s="3">
        <v>3</v>
      </c>
      <c r="D42" s="10">
        <v>12</v>
      </c>
      <c r="E42" s="12">
        <v>2025</v>
      </c>
    </row>
    <row r="43" spans="1:12" x14ac:dyDescent="0.3">
      <c r="C43" s="8"/>
      <c r="D43" s="8"/>
      <c r="E43" s="8"/>
      <c r="F43" s="8"/>
      <c r="G43" s="8"/>
    </row>
    <row r="44" spans="1:12" x14ac:dyDescent="0.3">
      <c r="A44" s="1" t="s">
        <v>9</v>
      </c>
      <c r="C44" s="3" t="s">
        <v>49</v>
      </c>
      <c r="D44" s="15"/>
      <c r="E44" s="4" t="s">
        <v>51</v>
      </c>
      <c r="F44" s="15" t="s">
        <v>64</v>
      </c>
      <c r="G44" s="4" t="s">
        <v>52</v>
      </c>
      <c r="H44" s="15"/>
      <c r="I44" s="4" t="s">
        <v>50</v>
      </c>
      <c r="J44" s="16" t="b">
        <v>1</v>
      </c>
    </row>
    <row r="45" spans="1:12" x14ac:dyDescent="0.3">
      <c r="A45" s="1"/>
    </row>
    <row r="46" spans="1:12" x14ac:dyDescent="0.3">
      <c r="A46" s="1" t="s">
        <v>53</v>
      </c>
      <c r="C46" s="3" t="s">
        <v>54</v>
      </c>
      <c r="D46" s="15"/>
      <c r="E46" s="4" t="s">
        <v>55</v>
      </c>
      <c r="F46" s="15"/>
      <c r="G46" s="4" t="s">
        <v>56</v>
      </c>
      <c r="H46" s="15" t="b">
        <v>0</v>
      </c>
      <c r="I46" s="4" t="s">
        <v>57</v>
      </c>
      <c r="J46" s="16" t="b">
        <v>0</v>
      </c>
    </row>
    <row r="47" spans="1:12" x14ac:dyDescent="0.3">
      <c r="A47" s="1"/>
      <c r="C47" s="8"/>
      <c r="D47" s="8"/>
      <c r="E47" s="8"/>
      <c r="F47" s="8"/>
      <c r="G47" s="8"/>
    </row>
    <row r="48" spans="1:12" x14ac:dyDescent="0.3">
      <c r="A48" s="1" t="s">
        <v>10</v>
      </c>
      <c r="C48" s="3">
        <v>23</v>
      </c>
      <c r="D48" s="10">
        <v>11</v>
      </c>
      <c r="E48" s="12">
        <v>2025</v>
      </c>
    </row>
    <row r="49" spans="5:6" x14ac:dyDescent="0.3">
      <c r="E49" s="1"/>
      <c r="F49" s="1"/>
    </row>
    <row r="50" spans="5:6" x14ac:dyDescent="0.3">
      <c r="E50" s="1"/>
      <c r="F50" s="1"/>
    </row>
    <row r="51" spans="5:6" x14ac:dyDescent="0.3">
      <c r="E51" s="1"/>
      <c r="F51" s="1"/>
    </row>
    <row r="52" spans="5:6" x14ac:dyDescent="0.3">
      <c r="E52" s="1"/>
      <c r="F52" s="1"/>
    </row>
    <row r="53" spans="5:6" x14ac:dyDescent="0.3">
      <c r="E53" s="1"/>
      <c r="F53" s="1"/>
    </row>
  </sheetData>
  <conditionalFormatting sqref="C29:C35">
    <cfRule type="expression" dxfId="0" priority="5">
      <formula>$B29&lt;&gt;""</formula>
    </cfRule>
    <cfRule type="colorScale" priority="6">
      <colorScale>
        <cfvo type="min"/>
        <cfvo type="max"/>
        <color rgb="FFFF7128"/>
        <color rgb="FFFFEF9C"/>
      </colorScale>
    </cfRule>
  </conditionalFormatting>
  <dataValidations count="4">
    <dataValidation type="date" allowBlank="1" showInputMessage="1" showErrorMessage="1" sqref="F42:G42" xr:uid="{22853340-BC59-4287-A33B-28BA9D1617BA}">
      <formula1>45982</formula1>
      <formula2>45992</formula2>
    </dataValidation>
    <dataValidation type="list" allowBlank="1" showInputMessage="1" showErrorMessage="1" prompt="Year" sqref="E25 E42 E48" xr:uid="{A9F9F15A-7F23-4E4A-911F-E97BE33F9999}">
      <formula1>"2021,2022,2023,2024,2025,2026,2027,2028"</formula1>
    </dataValidation>
    <dataValidation type="list" allowBlank="1" showInputMessage="1" showErrorMessage="1" prompt="Day" sqref="C25 C42 C48" xr:uid="{08510DC5-8C99-4D98-A432-EB1BD7213BBC}">
      <formula1>"1,2,3,4,5,6,7,8,9,10,11,12,13,14,15,16,17,18,19,20,21,22,23,24,25,26,27,28,29,30,31"</formula1>
    </dataValidation>
    <dataValidation type="list" allowBlank="1" showInputMessage="1" showErrorMessage="1" prompt="Month" sqref="D25 D42 D48" xr:uid="{904C4EE2-C0ED-476D-BC7B-9FF56AA1CB83}">
      <formula1>"01,02,03,04,05,06,07,08,09,10,11,12"</formula1>
    </dataValidation>
  </dataValidations>
  <hyperlinks>
    <hyperlink ref="C23" r:id="rId1" xr:uid="{CDE02936-96D3-431F-B844-07DB56AE0F67}"/>
  </hyperlinks>
  <pageMargins left="0.25" right="0.25" top="0.75" bottom="0.75" header="0.3" footer="0.3"/>
  <pageSetup paperSize="1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3</xdr:col>
                    <xdr:colOff>53340</xdr:colOff>
                    <xdr:row>36</xdr:row>
                    <xdr:rowOff>175260</xdr:rowOff>
                  </from>
                  <to>
                    <xdr:col>3</xdr:col>
                    <xdr:colOff>297180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>
                <anchor moveWithCells="1">
                  <from>
                    <xdr:col>7</xdr:col>
                    <xdr:colOff>121920</xdr:colOff>
                    <xdr:row>36</xdr:row>
                    <xdr:rowOff>175260</xdr:rowOff>
                  </from>
                  <to>
                    <xdr:col>7</xdr:col>
                    <xdr:colOff>365760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Check Box 19">
              <controlPr defaultSize="0" autoFill="0" autoLine="0" autoPict="0">
                <anchor moveWithCells="1">
                  <from>
                    <xdr:col>5</xdr:col>
                    <xdr:colOff>220980</xdr:colOff>
                    <xdr:row>36</xdr:row>
                    <xdr:rowOff>175260</xdr:rowOff>
                  </from>
                  <to>
                    <xdr:col>5</xdr:col>
                    <xdr:colOff>464820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42</xdr:row>
                    <xdr:rowOff>175260</xdr:rowOff>
                  </from>
                  <to>
                    <xdr:col>3</xdr:col>
                    <xdr:colOff>335280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Check Box 35">
              <controlPr defaultSize="0" autoFill="0" autoLine="0" autoPict="0">
                <anchor moveWithCells="1">
                  <from>
                    <xdr:col>5</xdr:col>
                    <xdr:colOff>198120</xdr:colOff>
                    <xdr:row>42</xdr:row>
                    <xdr:rowOff>160020</xdr:rowOff>
                  </from>
                  <to>
                    <xdr:col>5</xdr:col>
                    <xdr:colOff>441960</xdr:colOff>
                    <xdr:row>44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Check Box 36">
              <controlPr defaultSize="0" autoFill="0" autoLine="0" autoPict="0">
                <anchor moveWithCells="1">
                  <from>
                    <xdr:col>7</xdr:col>
                    <xdr:colOff>228600</xdr:colOff>
                    <xdr:row>42</xdr:row>
                    <xdr:rowOff>175260</xdr:rowOff>
                  </from>
                  <to>
                    <xdr:col>7</xdr:col>
                    <xdr:colOff>472440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Check Box 37">
              <controlPr defaultSize="0" autoFill="0" autoLine="0" autoPict="0">
                <anchor moveWithCells="1">
                  <from>
                    <xdr:col>3</xdr:col>
                    <xdr:colOff>83820</xdr:colOff>
                    <xdr:row>45</xdr:row>
                    <xdr:rowOff>0</xdr:rowOff>
                  </from>
                  <to>
                    <xdr:col>3</xdr:col>
                    <xdr:colOff>327660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Check Box 38">
              <controlPr defaultSize="0" autoFill="0" autoLine="0" autoPict="0">
                <anchor moveWithCells="1">
                  <from>
                    <xdr:col>5</xdr:col>
                    <xdr:colOff>205740</xdr:colOff>
                    <xdr:row>44</xdr:row>
                    <xdr:rowOff>175260</xdr:rowOff>
                  </from>
                  <to>
                    <xdr:col>5</xdr:col>
                    <xdr:colOff>365760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Check Box 39">
              <controlPr defaultSize="0" autoFill="0" autoLine="0" autoPict="0">
                <anchor moveWithCells="1">
                  <from>
                    <xdr:col>7</xdr:col>
                    <xdr:colOff>228600</xdr:colOff>
                    <xdr:row>44</xdr:row>
                    <xdr:rowOff>167640</xdr:rowOff>
                  </from>
                  <to>
                    <xdr:col>7</xdr:col>
                    <xdr:colOff>472440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4" name="Check Box 40">
              <controlPr defaultSize="0" autoFill="0" autoLine="0" autoPict="0">
                <anchor moveWithCells="1">
                  <from>
                    <xdr:col>9</xdr:col>
                    <xdr:colOff>15240</xdr:colOff>
                    <xdr:row>44</xdr:row>
                    <xdr:rowOff>175260</xdr:rowOff>
                  </from>
                  <to>
                    <xdr:col>9</xdr:col>
                    <xdr:colOff>259080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5" name="Check Box 49">
              <controlPr defaultSize="0" autoFill="0" autoLine="0" autoPict="0">
                <anchor moveWithCells="1">
                  <from>
                    <xdr:col>8</xdr:col>
                    <xdr:colOff>609600</xdr:colOff>
                    <xdr:row>42</xdr:row>
                    <xdr:rowOff>167640</xdr:rowOff>
                  </from>
                  <to>
                    <xdr:col>9</xdr:col>
                    <xdr:colOff>236220</xdr:colOff>
                    <xdr:row>44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219F2-8C19-4FDE-9EC7-2B8A97C73A6C}">
          <x14:formula1>
            <xm:f>Sheet2!$A$1:$A$14</xm:f>
          </x14:formula1>
          <xm:sqref>B29:B35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1EB-C3CC-474F-9CC3-7FEB8A576D2D}">
  <dimension ref="B3:L5"/>
  <sheetViews>
    <sheetView workbookViewId="0">
      <selection activeCell="L5" sqref="L5"/>
    </sheetView>
  </sheetViews>
  <sheetFormatPr defaultRowHeight="14.4" x14ac:dyDescent="0.3"/>
  <cols>
    <col min="4" max="4" width="21" bestFit="1" customWidth="1"/>
    <col min="6" max="6" width="16.77734375" bestFit="1" customWidth="1"/>
    <col min="10" max="10" width="21" bestFit="1" customWidth="1"/>
    <col min="12" max="12" width="10" bestFit="1" customWidth="1"/>
  </cols>
  <sheetData>
    <row r="3" spans="2:12" x14ac:dyDescent="0.3">
      <c r="B3" s="18" t="s">
        <v>1</v>
      </c>
      <c r="C3" s="19"/>
      <c r="D3" s="18" t="s">
        <v>2</v>
      </c>
      <c r="E3" s="19"/>
      <c r="F3" s="18" t="s">
        <v>3</v>
      </c>
      <c r="G3" s="19"/>
      <c r="H3" s="18" t="s">
        <v>4</v>
      </c>
      <c r="I3" s="18"/>
      <c r="J3" s="18" t="s">
        <v>5</v>
      </c>
      <c r="K3" s="19"/>
      <c r="L3" s="18" t="s">
        <v>6</v>
      </c>
    </row>
    <row r="4" spans="2:12" x14ac:dyDescent="0.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12" x14ac:dyDescent="0.3">
      <c r="B5" s="3" t="s">
        <v>58</v>
      </c>
      <c r="C5" s="8"/>
      <c r="D5" s="3" t="s">
        <v>59</v>
      </c>
      <c r="E5" s="8"/>
      <c r="F5" s="3" t="s">
        <v>60</v>
      </c>
      <c r="G5" s="8"/>
      <c r="H5" s="3" t="s">
        <v>61</v>
      </c>
      <c r="I5" s="8"/>
      <c r="J5" s="13" t="s">
        <v>62</v>
      </c>
      <c r="K5" s="19"/>
      <c r="L5" s="3">
        <v>23</v>
      </c>
    </row>
  </sheetData>
  <dataValidations count="1">
    <dataValidation type="list" allowBlank="1" showInputMessage="1" showErrorMessage="1" prompt="Day" sqref="L5" xr:uid="{40E30080-CDB2-4552-8E4E-90E58B47065D}">
      <formula1>"1,2,3,4,5,6,7,8,9,10,11,12,13,14,15,16,17,18,19,20,21,22,23,24,25,26,27,28,29,30,31"</formula1>
    </dataValidation>
  </dataValidations>
  <hyperlinks>
    <hyperlink ref="J5" r:id="rId1" xr:uid="{0672EF22-EF02-48C3-9D65-3E5FEB8B896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1F13E-58F8-4D71-89D0-65CF831DCD92}">
  <sheetPr codeName="Sheet3"/>
  <dimension ref="A1:C14"/>
  <sheetViews>
    <sheetView workbookViewId="0">
      <selection activeCell="B16" sqref="B16"/>
    </sheetView>
  </sheetViews>
  <sheetFormatPr defaultRowHeight="14.4" x14ac:dyDescent="0.3"/>
  <cols>
    <col min="1" max="1" width="12.6640625" customWidth="1"/>
    <col min="2" max="2" width="15.44140625" customWidth="1"/>
  </cols>
  <sheetData>
    <row r="1" spans="1:3" x14ac:dyDescent="0.3">
      <c r="A1" s="1" t="s">
        <v>14</v>
      </c>
      <c r="B1" t="s">
        <v>32</v>
      </c>
      <c r="C1">
        <v>15000</v>
      </c>
    </row>
    <row r="2" spans="1:3" x14ac:dyDescent="0.3">
      <c r="A2" s="1" t="s">
        <v>15</v>
      </c>
      <c r="B2" t="s">
        <v>38</v>
      </c>
      <c r="C2">
        <v>27000</v>
      </c>
    </row>
    <row r="3" spans="1:3" x14ac:dyDescent="0.3">
      <c r="A3" s="1" t="s">
        <v>16</v>
      </c>
      <c r="B3" t="s">
        <v>39</v>
      </c>
      <c r="C3">
        <v>11000</v>
      </c>
    </row>
    <row r="4" spans="1:3" x14ac:dyDescent="0.3">
      <c r="A4" s="1" t="s">
        <v>17</v>
      </c>
      <c r="B4" t="s">
        <v>42</v>
      </c>
      <c r="C4">
        <v>13000</v>
      </c>
    </row>
    <row r="5" spans="1:3" x14ac:dyDescent="0.3">
      <c r="A5" s="1" t="s">
        <v>18</v>
      </c>
      <c r="B5" t="s">
        <v>36</v>
      </c>
      <c r="C5">
        <v>12000</v>
      </c>
    </row>
    <row r="6" spans="1:3" x14ac:dyDescent="0.3">
      <c r="A6" s="1" t="s">
        <v>19</v>
      </c>
      <c r="B6" t="s">
        <v>35</v>
      </c>
      <c r="C6">
        <v>9000</v>
      </c>
    </row>
    <row r="7" spans="1:3" x14ac:dyDescent="0.3">
      <c r="A7" s="1" t="s">
        <v>20</v>
      </c>
      <c r="B7" t="s">
        <v>33</v>
      </c>
      <c r="C7">
        <v>8000</v>
      </c>
    </row>
    <row r="8" spans="1:3" x14ac:dyDescent="0.3">
      <c r="A8" s="1" t="s">
        <v>26</v>
      </c>
      <c r="B8" t="s">
        <v>40</v>
      </c>
      <c r="C8">
        <v>7000</v>
      </c>
    </row>
    <row r="9" spans="1:3" x14ac:dyDescent="0.3">
      <c r="A9" s="1" t="s">
        <v>21</v>
      </c>
      <c r="B9" t="s">
        <v>34</v>
      </c>
      <c r="C9">
        <v>4000</v>
      </c>
    </row>
    <row r="10" spans="1:3" x14ac:dyDescent="0.3">
      <c r="A10" s="1" t="s">
        <v>22</v>
      </c>
      <c r="B10" t="s">
        <v>41</v>
      </c>
      <c r="C10">
        <v>10000</v>
      </c>
    </row>
    <row r="11" spans="1:3" x14ac:dyDescent="0.3">
      <c r="A11" s="1" t="s">
        <v>23</v>
      </c>
      <c r="B11" t="s">
        <v>43</v>
      </c>
      <c r="C11">
        <v>6000</v>
      </c>
    </row>
    <row r="12" spans="1:3" x14ac:dyDescent="0.3">
      <c r="A12" s="1" t="s">
        <v>37</v>
      </c>
      <c r="B12" t="s">
        <v>44</v>
      </c>
      <c r="C12">
        <v>4000</v>
      </c>
    </row>
    <row r="13" spans="1:3" x14ac:dyDescent="0.3">
      <c r="A13" s="1" t="s">
        <v>24</v>
      </c>
      <c r="B13" t="s">
        <v>46</v>
      </c>
      <c r="C13">
        <v>3000</v>
      </c>
    </row>
    <row r="14" spans="1:3" x14ac:dyDescent="0.3">
      <c r="A14" s="1" t="s">
        <v>25</v>
      </c>
      <c r="B14" t="s">
        <v>45</v>
      </c>
      <c r="C14">
        <v>4000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x</dc:creator>
  <cp:lastModifiedBy>User x</cp:lastModifiedBy>
  <cp:lastPrinted>2025-11-27T11:32:30Z</cp:lastPrinted>
  <dcterms:created xsi:type="dcterms:W3CDTF">2025-11-22T09:20:11Z</dcterms:created>
  <dcterms:modified xsi:type="dcterms:W3CDTF">2025-11-30T20:58:28Z</dcterms:modified>
</cp:coreProperties>
</file>